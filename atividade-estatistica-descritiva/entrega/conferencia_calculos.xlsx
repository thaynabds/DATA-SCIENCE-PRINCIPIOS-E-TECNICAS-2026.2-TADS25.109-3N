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Medidas" sheetId="2" state="visible" r:id="rId2"/>
    <sheet name="Frequencia" sheetId="3" state="visible" r:id="rId3"/>
    <sheet name="Lista_ordenada" sheetId="4" state="visible" r:id="rId4"/>
    <sheet name="Como_conferir" sheetId="5" state="visible" r:id="rId5"/>
  </sheets>
  <definedNames>
    <definedName name="_xlnm._FilterDatabase" localSheetId="0" hidden="1">'Dados'!$A$1:$J$52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0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A1A1A"/>
      <sz val="12"/>
    </font>
    <font>
      <name val="Calibri"/>
      <b val="1"/>
      <color rgb="001A1A1A"/>
      <sz val="12"/>
    </font>
    <font>
      <name val="Calibri"/>
      <b val="1"/>
      <color rgb="001F4E79"/>
      <sz val="16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6F8"/>
      </patternFill>
    </fill>
    <fill>
      <patternFill patternType="solid">
        <fgColor rgb="00F4E4C4"/>
      </patternFill>
    </fill>
  </fills>
  <borders count="2">
    <border>
      <left/>
      <right/>
      <top/>
      <bottom/>
      <diagonal/>
    </border>
    <border>
      <left style="thin">
        <color rgb="00BFCBD9"/>
      </left>
      <right style="thin">
        <color rgb="00BFCBD9"/>
      </right>
      <top style="thin">
        <color rgb="00BFCBD9"/>
      </top>
      <bottom style="thin">
        <color rgb="00BFCB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0">
      <alignment horizontal="center"/>
    </xf>
    <xf numFmtId="1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2" fontId="2" fillId="4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Quantos postos cobraram cada preco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'Frequencia'!B1</f>
            </strRef>
          </tx>
          <spPr>
            <a:ln>
              <a:prstDash val="solid"/>
            </a:ln>
          </spPr>
          <cat>
            <numRef>
              <f>'Frequencia'!$A$2:$A$7</f>
            </numRef>
          </cat>
          <val>
            <numRef>
              <f>'Frequencia'!$B$2:$B$7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Preco da gasolina comum (R$/litro)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4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Quantidade de postos</a:t>
                </a:r>
              </a:p>
            </rich>
          </tx>
        </title>
        <majorTickMark val="none"/>
        <minorTickMark val="none"/>
        <crossAx val="10"/>
        <majorUnit val="3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24" customWidth="1" min="4" max="4"/>
    <col width="14" customWidth="1" min="5" max="5"/>
    <col width="20" customWidth="1" min="6" max="6"/>
    <col width="55" customWidth="1" min="7" max="7"/>
    <col width="22" customWidth="1" min="8" max="8"/>
    <col width="14" customWidth="1" min="9" max="9"/>
    <col width="18" customWidth="1" min="10" max="10"/>
  </cols>
  <sheetData>
    <row r="1" ht="22" customHeight="1">
      <c r="A1" s="1" t="inlineStr">
        <is>
          <t>id_registro</t>
        </is>
      </c>
      <c r="B1" s="1" t="inlineStr">
        <is>
          <t>municipio</t>
        </is>
      </c>
      <c r="C1" s="1" t="inlineStr">
        <is>
          <t>data_coleta</t>
        </is>
      </c>
      <c r="D1" s="1" t="inlineStr">
        <is>
          <t>preco_venda_rs_litro</t>
        </is>
      </c>
      <c r="E1" s="1" t="inlineStr">
        <is>
          <t>bandeira</t>
        </is>
      </c>
      <c r="F1" s="1" t="inlineStr">
        <is>
          <t>bairro</t>
        </is>
      </c>
      <c r="G1" s="1" t="inlineStr">
        <is>
          <t>revenda</t>
        </is>
      </c>
      <c r="H1" s="1" t="inlineStr">
        <is>
          <t>cnpj_revenda</t>
        </is>
      </c>
      <c r="I1" s="1" t="inlineStr">
        <is>
          <t>produto</t>
        </is>
      </c>
      <c r="J1" s="1" t="inlineStr">
        <is>
          <t>linha_csv_origem</t>
        </is>
      </c>
    </row>
    <row r="2">
      <c r="A2" s="2" t="inlineStr">
        <is>
          <t>ANP_001</t>
        </is>
      </c>
      <c r="B2" s="2" t="inlineStr">
        <is>
          <t>RECIFE</t>
        </is>
      </c>
      <c r="C2" s="2" t="inlineStr">
        <is>
          <t>2026-09-21</t>
        </is>
      </c>
      <c r="D2" s="3" t="n">
        <v>6.99</v>
      </c>
      <c r="E2" s="2" t="inlineStr">
        <is>
          <t>VIBRA</t>
        </is>
      </c>
      <c r="F2" s="2" t="inlineStr">
        <is>
          <t>IMBIRIBEIRA</t>
        </is>
      </c>
      <c r="G2" s="2" t="inlineStr">
        <is>
          <t>CUNHA DERIVADOS DE PETROLEO LTDA</t>
        </is>
      </c>
      <c r="H2" s="2" t="inlineStr">
        <is>
          <t>00.216.435/0001-78</t>
        </is>
      </c>
      <c r="I2" s="2" t="inlineStr">
        <is>
          <t>GASOLINA</t>
        </is>
      </c>
      <c r="J2" s="2" t="n">
        <v>29308</v>
      </c>
    </row>
    <row r="3">
      <c r="A3" s="2" t="inlineStr">
        <is>
          <t>ANP_002</t>
        </is>
      </c>
      <c r="B3" s="2" t="inlineStr">
        <is>
          <t>RECIFE</t>
        </is>
      </c>
      <c r="C3" s="2" t="inlineStr">
        <is>
          <t>2026-09-21</t>
        </is>
      </c>
      <c r="D3" s="3" t="n">
        <v>6.99</v>
      </c>
      <c r="E3" s="2" t="inlineStr">
        <is>
          <t>VIBRA</t>
        </is>
      </c>
      <c r="F3" s="2" t="inlineStr">
        <is>
          <t>BOA VIAGEM</t>
        </is>
      </c>
      <c r="G3" s="2" t="inlineStr">
        <is>
          <t>ESTAÇÃO DE SERVIÇOS BOA VIAGEM LTDA</t>
        </is>
      </c>
      <c r="H3" s="2" t="inlineStr">
        <is>
          <t>02.016.104/0001-10</t>
        </is>
      </c>
      <c r="I3" s="2" t="inlineStr">
        <is>
          <t>GASOLINA</t>
        </is>
      </c>
      <c r="J3" s="2" t="n">
        <v>29329</v>
      </c>
    </row>
    <row r="4">
      <c r="A4" s="2" t="inlineStr">
        <is>
          <t>ANP_003</t>
        </is>
      </c>
      <c r="B4" s="2" t="inlineStr">
        <is>
          <t>RECIFE</t>
        </is>
      </c>
      <c r="C4" s="2" t="inlineStr">
        <is>
          <t>2026-09-21</t>
        </is>
      </c>
      <c r="D4" s="3" t="n">
        <v>6.97</v>
      </c>
      <c r="E4" s="2" t="inlineStr">
        <is>
          <t>BRANCA</t>
        </is>
      </c>
      <c r="F4" s="2" t="inlineStr">
        <is>
          <t>CACOTE</t>
        </is>
      </c>
      <c r="G4" s="2" t="inlineStr">
        <is>
          <t>POSTO ATENAS LTDA</t>
        </is>
      </c>
      <c r="H4" s="2" t="inlineStr">
        <is>
          <t>02.331.341/0001-75</t>
        </is>
      </c>
      <c r="I4" s="2" t="inlineStr">
        <is>
          <t>GASOLINA</t>
        </is>
      </c>
      <c r="J4" s="2" t="n">
        <v>29326</v>
      </c>
    </row>
    <row r="5">
      <c r="A5" s="2" t="inlineStr">
        <is>
          <t>ANP_004</t>
        </is>
      </c>
      <c r="B5" s="2" t="inlineStr">
        <is>
          <t>RECIFE</t>
        </is>
      </c>
      <c r="C5" s="2" t="inlineStr">
        <is>
          <t>2026-09-21</t>
        </is>
      </c>
      <c r="D5" s="3" t="n">
        <v>6.97</v>
      </c>
      <c r="E5" s="2" t="inlineStr">
        <is>
          <t>RAIZEN</t>
        </is>
      </c>
      <c r="F5" s="2" t="inlineStr">
        <is>
          <t>SAN MARTIN</t>
        </is>
      </c>
      <c r="G5" s="2" t="inlineStr">
        <is>
          <t>POSTO IBIZA LTDA</t>
        </is>
      </c>
      <c r="H5" s="2" t="inlineStr">
        <is>
          <t>03.281.744/0002-09</t>
        </is>
      </c>
      <c r="I5" s="2" t="inlineStr">
        <is>
          <t>GASOLINA</t>
        </is>
      </c>
      <c r="J5" s="2" t="n">
        <v>29302</v>
      </c>
    </row>
    <row r="6">
      <c r="A6" s="2" t="inlineStr">
        <is>
          <t>ANP_005</t>
        </is>
      </c>
      <c r="B6" s="2" t="inlineStr">
        <is>
          <t>RECIFE</t>
        </is>
      </c>
      <c r="C6" s="2" t="inlineStr">
        <is>
          <t>2026-09-21</t>
        </is>
      </c>
      <c r="D6" s="3" t="n">
        <v>6.95</v>
      </c>
      <c r="E6" s="2" t="inlineStr">
        <is>
          <t>BRANCA</t>
        </is>
      </c>
      <c r="F6" s="2" t="inlineStr">
        <is>
          <t>AFOGADOS</t>
        </is>
      </c>
      <c r="G6" s="2" t="inlineStr">
        <is>
          <t>BRAZ PETRO COMBUSTÍVEIS LTDA</t>
        </is>
      </c>
      <c r="H6" s="2" t="inlineStr">
        <is>
          <t>05.002.107/0001-92</t>
        </is>
      </c>
      <c r="I6" s="2" t="inlineStr">
        <is>
          <t>GASOLINA</t>
        </is>
      </c>
      <c r="J6" s="2" t="n">
        <v>29324</v>
      </c>
    </row>
    <row r="7">
      <c r="A7" s="2" t="inlineStr">
        <is>
          <t>ANP_006</t>
        </is>
      </c>
      <c r="B7" s="2" t="inlineStr">
        <is>
          <t>RECIFE</t>
        </is>
      </c>
      <c r="C7" s="2" t="inlineStr">
        <is>
          <t>2026-09-21</t>
        </is>
      </c>
      <c r="D7" s="3" t="n">
        <v>6.97</v>
      </c>
      <c r="E7" s="2" t="inlineStr">
        <is>
          <t>VIBRA</t>
        </is>
      </c>
      <c r="F7" s="2" t="inlineStr">
        <is>
          <t>VARZEA</t>
        </is>
      </c>
      <c r="G7" s="2" t="inlineStr">
        <is>
          <t>POSTO ALBATEX LTDA</t>
        </is>
      </c>
      <c r="H7" s="2" t="inlineStr">
        <is>
          <t>05.557.705/0001-28</t>
        </is>
      </c>
      <c r="I7" s="2" t="inlineStr">
        <is>
          <t>GASOLINA</t>
        </is>
      </c>
      <c r="J7" s="2" t="n">
        <v>29293</v>
      </c>
    </row>
    <row r="8">
      <c r="A8" s="2" t="inlineStr">
        <is>
          <t>ANP_007</t>
        </is>
      </c>
      <c r="B8" s="2" t="inlineStr">
        <is>
          <t>RECIFE</t>
        </is>
      </c>
      <c r="C8" s="2" t="inlineStr">
        <is>
          <t>2026-09-21</t>
        </is>
      </c>
      <c r="D8" s="3" t="n">
        <v>6.99</v>
      </c>
      <c r="E8" s="2" t="inlineStr">
        <is>
          <t>VIBRA</t>
        </is>
      </c>
      <c r="F8" s="2" t="inlineStr">
        <is>
          <t>GRACAS</t>
        </is>
      </c>
      <c r="G8" s="2" t="inlineStr">
        <is>
          <t>PETRO MIX LTDA</t>
        </is>
      </c>
      <c r="H8" s="2" t="inlineStr">
        <is>
          <t>05.684.913/0001-98</t>
        </is>
      </c>
      <c r="I8" s="2" t="inlineStr">
        <is>
          <t>GASOLINA</t>
        </is>
      </c>
      <c r="J8" s="2" t="n">
        <v>29290</v>
      </c>
    </row>
    <row r="9">
      <c r="A9" s="2" t="inlineStr">
        <is>
          <t>ANP_008</t>
        </is>
      </c>
      <c r="B9" s="2" t="inlineStr">
        <is>
          <t>RECIFE</t>
        </is>
      </c>
      <c r="C9" s="2" t="inlineStr">
        <is>
          <t>2026-09-21</t>
        </is>
      </c>
      <c r="D9" s="3" t="n">
        <v>6.97</v>
      </c>
      <c r="E9" s="2" t="inlineStr">
        <is>
          <t>IPIRANGA</t>
        </is>
      </c>
      <c r="F9" s="2" t="inlineStr">
        <is>
          <t>IMBIRIBEIRA</t>
        </is>
      </c>
      <c r="G9" s="2" t="inlineStr">
        <is>
          <t>CONSTRUCIPE - COMERCIO, CONSTRUCOES E INCORPORACOES LTDA</t>
        </is>
      </c>
      <c r="H9" s="2" t="inlineStr">
        <is>
          <t>07.193.050/0002-62</t>
        </is>
      </c>
      <c r="I9" s="2" t="inlineStr">
        <is>
          <t>GASOLINA</t>
        </is>
      </c>
      <c r="J9" s="2" t="n">
        <v>29284</v>
      </c>
    </row>
    <row r="10">
      <c r="A10" s="2" t="inlineStr">
        <is>
          <t>ANP_009</t>
        </is>
      </c>
      <c r="B10" s="2" t="inlineStr">
        <is>
          <t>RECIFE</t>
        </is>
      </c>
      <c r="C10" s="2" t="inlineStr">
        <is>
          <t>2026-09-21</t>
        </is>
      </c>
      <c r="D10" s="3" t="n">
        <v>6.97</v>
      </c>
      <c r="E10" s="2" t="inlineStr">
        <is>
          <t>VIBRA</t>
        </is>
      </c>
      <c r="F10" s="2" t="inlineStr">
        <is>
          <t>BOA VIAGEM</t>
        </is>
      </c>
      <c r="G10" s="2" t="inlineStr">
        <is>
          <t>ORGANIZACAO DE PETROLEO SHOPPING LTDA</t>
        </is>
      </c>
      <c r="H10" s="2" t="inlineStr">
        <is>
          <t>09.044.272/0002-49</t>
        </is>
      </c>
      <c r="I10" s="2" t="inlineStr">
        <is>
          <t>GASOLINA</t>
        </is>
      </c>
      <c r="J10" s="2" t="n">
        <v>29296</v>
      </c>
    </row>
    <row r="11">
      <c r="A11" s="2" t="inlineStr">
        <is>
          <t>ANP_010</t>
        </is>
      </c>
      <c r="B11" s="2" t="inlineStr">
        <is>
          <t>RECIFE</t>
        </is>
      </c>
      <c r="C11" s="2" t="inlineStr">
        <is>
          <t>2026-09-21</t>
        </is>
      </c>
      <c r="D11" s="3" t="n">
        <v>6.97</v>
      </c>
      <c r="E11" s="2" t="inlineStr">
        <is>
          <t>VIBRA</t>
        </is>
      </c>
      <c r="F11" s="2" t="inlineStr">
        <is>
          <t>PONTO DE PARADA</t>
        </is>
      </c>
      <c r="G11" s="2" t="inlineStr">
        <is>
          <t>A.B. SILVA &amp; CIA LTDA</t>
        </is>
      </c>
      <c r="H11" s="2" t="inlineStr">
        <is>
          <t>10.973.568/0001-42</t>
        </is>
      </c>
      <c r="I11" s="2" t="inlineStr">
        <is>
          <t>GASOLINA</t>
        </is>
      </c>
      <c r="J11" s="2" t="n">
        <v>29299</v>
      </c>
    </row>
    <row r="12">
      <c r="A12" s="2" t="inlineStr">
        <is>
          <t>ANP_011</t>
        </is>
      </c>
      <c r="B12" s="2" t="inlineStr">
        <is>
          <t>RECIFE</t>
        </is>
      </c>
      <c r="C12" s="2" t="inlineStr">
        <is>
          <t>2026-09-21</t>
        </is>
      </c>
      <c r="D12" s="3" t="n">
        <v>6.99</v>
      </c>
      <c r="E12" s="2" t="inlineStr">
        <is>
          <t>VIBRA</t>
        </is>
      </c>
      <c r="F12" s="2" t="inlineStr">
        <is>
          <t>BOA VIAGEM</t>
        </is>
      </c>
      <c r="G12" s="2" t="inlineStr">
        <is>
          <t>POSTO RECH LTDA</t>
        </is>
      </c>
      <c r="H12" s="2" t="inlineStr">
        <is>
          <t>11.052.812/0001-05</t>
        </is>
      </c>
      <c r="I12" s="2" t="inlineStr">
        <is>
          <t>GASOLINA</t>
        </is>
      </c>
      <c r="J12" s="2" t="n">
        <v>31663</v>
      </c>
    </row>
    <row r="13">
      <c r="A13" s="2" t="inlineStr">
        <is>
          <t>ANP_012</t>
        </is>
      </c>
      <c r="B13" s="2" t="inlineStr">
        <is>
          <t>RECIFE</t>
        </is>
      </c>
      <c r="C13" s="2" t="inlineStr">
        <is>
          <t>2026-09-21</t>
        </is>
      </c>
      <c r="D13" s="3" t="n">
        <v>6.97</v>
      </c>
      <c r="E13" s="2" t="inlineStr">
        <is>
          <t>VIBRA</t>
        </is>
      </c>
      <c r="F13" s="2" t="inlineStr">
        <is>
          <t>IMBIRIRBEIRA</t>
        </is>
      </c>
      <c r="G13" s="2" t="inlineStr">
        <is>
          <t>PETROCAL PETROLEO CAVALCANTI LIMITADA</t>
        </is>
      </c>
      <c r="H13" s="2" t="inlineStr">
        <is>
          <t>12.781.233/0001-58</t>
        </is>
      </c>
      <c r="I13" s="2" t="inlineStr">
        <is>
          <t>GASOLINA</t>
        </is>
      </c>
      <c r="J13" s="2" t="n">
        <v>29305</v>
      </c>
    </row>
    <row r="14">
      <c r="A14" s="2" t="inlineStr">
        <is>
          <t>ANP_013</t>
        </is>
      </c>
      <c r="B14" s="2" t="inlineStr">
        <is>
          <t>RECIFE</t>
        </is>
      </c>
      <c r="C14" s="2" t="inlineStr">
        <is>
          <t>2026-09-21</t>
        </is>
      </c>
      <c r="D14" s="3" t="n">
        <v>6.99</v>
      </c>
      <c r="E14" s="2" t="inlineStr">
        <is>
          <t>VIBRA</t>
        </is>
      </c>
      <c r="F14" s="2" t="inlineStr">
        <is>
          <t>PINA</t>
        </is>
      </c>
      <c r="G14" s="2" t="inlineStr">
        <is>
          <t>PETROCAL PETROLEO CAVALCANTI LIMITADA</t>
        </is>
      </c>
      <c r="H14" s="2" t="inlineStr">
        <is>
          <t>12.781.233/0006-62</t>
        </is>
      </c>
      <c r="I14" s="2" t="inlineStr">
        <is>
          <t>GASOLINA</t>
        </is>
      </c>
      <c r="J14" s="2" t="n">
        <v>29310</v>
      </c>
    </row>
    <row r="15">
      <c r="A15" s="2" t="inlineStr">
        <is>
          <t>ANP_014</t>
        </is>
      </c>
      <c r="B15" s="2" t="inlineStr">
        <is>
          <t>RECIFE</t>
        </is>
      </c>
      <c r="C15" s="2" t="inlineStr">
        <is>
          <t>2026-09-21</t>
        </is>
      </c>
      <c r="D15" s="3" t="n">
        <v>6.99</v>
      </c>
      <c r="E15" s="2" t="inlineStr">
        <is>
          <t>VIBRA</t>
        </is>
      </c>
      <c r="F15" s="2" t="inlineStr">
        <is>
          <t>BOA VIAGEM</t>
        </is>
      </c>
      <c r="G15" s="2" t="inlineStr">
        <is>
          <t>PETROCAL PETROLEO CAVALCANTI LIMITADA</t>
        </is>
      </c>
      <c r="H15" s="2" t="inlineStr">
        <is>
          <t>12.781.233/0022-82</t>
        </is>
      </c>
      <c r="I15" s="2" t="inlineStr">
        <is>
          <t>GASOLINA</t>
        </is>
      </c>
      <c r="J15" s="2" t="n">
        <v>33083</v>
      </c>
    </row>
    <row r="16">
      <c r="A16" s="2" t="inlineStr">
        <is>
          <t>ANP_015</t>
        </is>
      </c>
      <c r="B16" s="2" t="inlineStr">
        <is>
          <t>RECIFE</t>
        </is>
      </c>
      <c r="C16" s="2" t="inlineStr">
        <is>
          <t>2026-09-21</t>
        </is>
      </c>
      <c r="D16" s="3" t="n">
        <v>6.97</v>
      </c>
      <c r="E16" s="2" t="inlineStr">
        <is>
          <t>VIBRA</t>
        </is>
      </c>
      <c r="F16" s="2" t="inlineStr">
        <is>
          <t>IMBIRIBEIRA</t>
        </is>
      </c>
      <c r="G16" s="2" t="inlineStr">
        <is>
          <t>METRO PETROLEO LTDA</t>
        </is>
      </c>
      <c r="H16" s="2" t="inlineStr">
        <is>
          <t>13.212.876/0001-43</t>
        </is>
      </c>
      <c r="I16" s="2" t="inlineStr">
        <is>
          <t>GASOLINA</t>
        </is>
      </c>
      <c r="J16" s="2" t="n">
        <v>31836</v>
      </c>
    </row>
    <row r="17">
      <c r="A17" s="2" t="inlineStr">
        <is>
          <t>ANP_016</t>
        </is>
      </c>
      <c r="B17" s="2" t="inlineStr">
        <is>
          <t>RECIFE</t>
        </is>
      </c>
      <c r="C17" s="2" t="inlineStr">
        <is>
          <t>2026-09-21</t>
        </is>
      </c>
      <c r="D17" s="3" t="n">
        <v>6.95</v>
      </c>
      <c r="E17" s="2" t="inlineStr">
        <is>
          <t>BRANCA</t>
        </is>
      </c>
      <c r="F17" s="2" t="inlineStr">
        <is>
          <t>BARRO</t>
        </is>
      </c>
      <c r="G17" s="2" t="inlineStr">
        <is>
          <t>AUTO POSTO AREIAS PETROLEO LTDA</t>
        </is>
      </c>
      <c r="H17" s="2" t="inlineStr">
        <is>
          <t>13.416.163/0001-00</t>
        </is>
      </c>
      <c r="I17" s="2" t="inlineStr">
        <is>
          <t>GASOLINA</t>
        </is>
      </c>
      <c r="J17" s="2" t="n">
        <v>31937</v>
      </c>
    </row>
    <row r="18">
      <c r="A18" s="2" t="inlineStr">
        <is>
          <t>ANP_017</t>
        </is>
      </c>
      <c r="B18" s="2" t="inlineStr">
        <is>
          <t>RECIFE</t>
        </is>
      </c>
      <c r="C18" s="2" t="inlineStr">
        <is>
          <t>2026-09-21</t>
        </is>
      </c>
      <c r="D18" s="3" t="n">
        <v>6.97</v>
      </c>
      <c r="E18" s="2" t="inlineStr">
        <is>
          <t>IPIRANGA</t>
        </is>
      </c>
      <c r="F18" s="2" t="inlineStr">
        <is>
          <t>IMBIRIBEIRA</t>
        </is>
      </c>
      <c r="G18" s="2" t="inlineStr">
        <is>
          <t>AC MORAIS COMBUSTIVEIS LTDA</t>
        </is>
      </c>
      <c r="H18" s="2" t="inlineStr">
        <is>
          <t>22.493.813/0001-01</t>
        </is>
      </c>
      <c r="I18" s="2" t="inlineStr">
        <is>
          <t>GASOLINA</t>
        </is>
      </c>
      <c r="J18" s="2" t="n">
        <v>32446</v>
      </c>
    </row>
    <row r="19">
      <c r="A19" s="2" t="inlineStr">
        <is>
          <t>ANP_018</t>
        </is>
      </c>
      <c r="B19" s="2" t="inlineStr">
        <is>
          <t>RECIFE</t>
        </is>
      </c>
      <c r="C19" s="2" t="inlineStr">
        <is>
          <t>2026-09-21</t>
        </is>
      </c>
      <c r="D19" s="3" t="n">
        <v>6.98</v>
      </c>
      <c r="E19" s="2" t="inlineStr">
        <is>
          <t>VIBRA</t>
        </is>
      </c>
      <c r="F19" s="2" t="inlineStr">
        <is>
          <t>BOA VIAGEM</t>
        </is>
      </c>
      <c r="G19" s="2" t="inlineStr">
        <is>
          <t>SOCIEDADE COMERCIAL CAVALCANTI E FILHO LTDA</t>
        </is>
      </c>
      <c r="H19" s="2" t="inlineStr">
        <is>
          <t>24.395.071/0002-80</t>
        </is>
      </c>
      <c r="I19" s="2" t="inlineStr">
        <is>
          <t>GASOLINA</t>
        </is>
      </c>
      <c r="J19" s="2" t="n">
        <v>29322</v>
      </c>
    </row>
    <row r="20">
      <c r="A20" s="2" t="inlineStr">
        <is>
          <t>ANP_019</t>
        </is>
      </c>
      <c r="B20" s="2" t="inlineStr">
        <is>
          <t>RECIFE</t>
        </is>
      </c>
      <c r="C20" s="2" t="inlineStr">
        <is>
          <t>2026-09-21</t>
        </is>
      </c>
      <c r="D20" s="3" t="n">
        <v>6.95</v>
      </c>
      <c r="E20" s="2" t="inlineStr">
        <is>
          <t>VIBRA</t>
        </is>
      </c>
      <c r="F20" s="2" t="inlineStr">
        <is>
          <t>VARZEA</t>
        </is>
      </c>
      <c r="G20" s="2" t="inlineStr">
        <is>
          <t>AUTO POSTO ARECIFE COMERCIO DE COMBUSTIVEIS LTDA</t>
        </is>
      </c>
      <c r="H20" s="2" t="inlineStr">
        <is>
          <t>28.884.475/0001-07</t>
        </is>
      </c>
      <c r="I20" s="2" t="inlineStr">
        <is>
          <t>GASOLINA</t>
        </is>
      </c>
      <c r="J20" s="2" t="n">
        <v>32963</v>
      </c>
    </row>
    <row r="21">
      <c r="A21" s="2" t="inlineStr">
        <is>
          <t>ANP_020</t>
        </is>
      </c>
      <c r="B21" s="2" t="inlineStr">
        <is>
          <t>RECIFE</t>
        </is>
      </c>
      <c r="C21" s="2" t="inlineStr">
        <is>
          <t>2026-09-21</t>
        </is>
      </c>
      <c r="D21" s="3" t="n">
        <v>6.99</v>
      </c>
      <c r="E21" s="2" t="inlineStr">
        <is>
          <t>VIBRA</t>
        </is>
      </c>
      <c r="F21" s="2" t="inlineStr">
        <is>
          <t>MADALENA</t>
        </is>
      </c>
      <c r="G21" s="2" t="inlineStr">
        <is>
          <t>POSTO CUNHA IV COMERCIO DE COMBUSTIVEL E DERIVADOS LTDA</t>
        </is>
      </c>
      <c r="H21" s="2" t="inlineStr">
        <is>
          <t>39.447.751/0001-96</t>
        </is>
      </c>
      <c r="I21" s="2" t="inlineStr">
        <is>
          <t>GASOLINA</t>
        </is>
      </c>
      <c r="J21" s="2" t="n">
        <v>32982</v>
      </c>
    </row>
    <row r="22">
      <c r="A22" s="2" t="inlineStr">
        <is>
          <t>ANP_021</t>
        </is>
      </c>
      <c r="B22" s="2" t="inlineStr">
        <is>
          <t>RECIFE</t>
        </is>
      </c>
      <c r="C22" s="2" t="inlineStr">
        <is>
          <t>2026-09-21</t>
        </is>
      </c>
      <c r="D22" s="3" t="n">
        <v>6.89</v>
      </c>
      <c r="E22" s="2" t="inlineStr">
        <is>
          <t>BRANCA</t>
        </is>
      </c>
      <c r="F22" s="2" t="inlineStr">
        <is>
          <t>TORRE</t>
        </is>
      </c>
      <c r="G22" s="2" t="inlineStr">
        <is>
          <t>CARREFOUR COMERCIO E INDUSTRIA LTDA</t>
        </is>
      </c>
      <c r="H22" s="2" t="inlineStr">
        <is>
          <t>45.543.915/0282-72</t>
        </is>
      </c>
      <c r="I22" s="2" t="inlineStr">
        <is>
          <t>GASOLINA</t>
        </is>
      </c>
      <c r="J22" s="2" t="n">
        <v>29288</v>
      </c>
    </row>
    <row r="23">
      <c r="A23" s="2" t="inlineStr">
        <is>
          <t>ANP_022</t>
        </is>
      </c>
      <c r="B23" s="2" t="inlineStr">
        <is>
          <t>RECIFE</t>
        </is>
      </c>
      <c r="C23" s="2" t="inlineStr">
        <is>
          <t>2026-09-21</t>
        </is>
      </c>
      <c r="D23" s="3" t="n">
        <v>6.99</v>
      </c>
      <c r="E23" s="2" t="inlineStr">
        <is>
          <t>RAIZEN</t>
        </is>
      </c>
      <c r="F23" s="2" t="inlineStr">
        <is>
          <t>PINA</t>
        </is>
      </c>
      <c r="G23" s="2" t="inlineStr">
        <is>
          <t>POSTO BALI LTDA</t>
        </is>
      </c>
      <c r="H23" s="2" t="inlineStr">
        <is>
          <t>47.243.173/0001-02</t>
        </is>
      </c>
      <c r="I23" s="2" t="inlineStr">
        <is>
          <t>GASOLINA</t>
        </is>
      </c>
      <c r="J23" s="2" t="n">
        <v>33060</v>
      </c>
    </row>
    <row r="24">
      <c r="A24" s="2" t="inlineStr">
        <is>
          <t>ANP_023</t>
        </is>
      </c>
      <c r="B24" s="2" t="inlineStr">
        <is>
          <t>RECIFE</t>
        </is>
      </c>
      <c r="C24" s="2" t="inlineStr">
        <is>
          <t>2026-09-21</t>
        </is>
      </c>
      <c r="D24" s="3" t="n">
        <v>6.97</v>
      </c>
      <c r="E24" s="2" t="inlineStr">
        <is>
          <t>VIBRA</t>
        </is>
      </c>
      <c r="F24" s="2" t="inlineStr">
        <is>
          <t>IBURA</t>
        </is>
      </c>
      <c r="G24" s="2" t="inlineStr">
        <is>
          <t>POSTO PG AEROPORTO LTDA</t>
        </is>
      </c>
      <c r="H24" s="2" t="inlineStr">
        <is>
          <t>49.155.603/0001-51</t>
        </is>
      </c>
      <c r="I24" s="2" t="inlineStr">
        <is>
          <t>GASOLINA</t>
        </is>
      </c>
      <c r="J24" s="2" t="n">
        <v>33090</v>
      </c>
    </row>
    <row r="25">
      <c r="A25" s="2" t="inlineStr">
        <is>
          <t>ANP_024</t>
        </is>
      </c>
      <c r="B25" s="2" t="inlineStr">
        <is>
          <t>RECIFE</t>
        </is>
      </c>
      <c r="C25" s="2" t="inlineStr">
        <is>
          <t>2026-09-21</t>
        </is>
      </c>
      <c r="D25" s="3" t="n">
        <v>6.99</v>
      </c>
      <c r="E25" s="2" t="inlineStr">
        <is>
          <t>IPIRANGA</t>
        </is>
      </c>
      <c r="F25" s="2" t="inlineStr">
        <is>
          <t>BOA VIAGEM</t>
        </is>
      </c>
      <c r="G25" s="2" t="inlineStr">
        <is>
          <t>JM COMERCIO DE COMBUSTIVEIS LTDA</t>
        </is>
      </c>
      <c r="H25" s="2" t="inlineStr">
        <is>
          <t>53.132.341/0001-87</t>
        </is>
      </c>
      <c r="I25" s="2" t="inlineStr">
        <is>
          <t>GASOLINA</t>
        </is>
      </c>
      <c r="J25" s="2" t="n">
        <v>33122</v>
      </c>
    </row>
    <row r="26">
      <c r="A26" s="2" t="inlineStr">
        <is>
          <t>ANP_025</t>
        </is>
      </c>
      <c r="B26" s="2" t="inlineStr">
        <is>
          <t>RECIFE</t>
        </is>
      </c>
      <c r="C26" s="2" t="inlineStr">
        <is>
          <t>2026-09-21</t>
        </is>
      </c>
      <c r="D26" s="3" t="n">
        <v>6.99</v>
      </c>
      <c r="E26" s="2" t="inlineStr">
        <is>
          <t>RAIZEN</t>
        </is>
      </c>
      <c r="F26" s="2" t="inlineStr">
        <is>
          <t>GRACAS</t>
        </is>
      </c>
      <c r="G26" s="2" t="inlineStr">
        <is>
          <t>CEMOPEL CM PETROLEO LTDA</t>
        </is>
      </c>
      <c r="H26" s="2" t="inlineStr">
        <is>
          <t>69.943.686/0001-50</t>
        </is>
      </c>
      <c r="I26" s="2" t="inlineStr">
        <is>
          <t>GASOLINA</t>
        </is>
      </c>
      <c r="J26" s="2" t="n">
        <v>29319</v>
      </c>
    </row>
    <row r="27">
      <c r="A27" s="2" t="inlineStr">
        <is>
          <t>ANP_026</t>
        </is>
      </c>
      <c r="B27" s="2" t="inlineStr">
        <is>
          <t>RECIFE</t>
        </is>
      </c>
      <c r="C27" s="2" t="inlineStr">
        <is>
          <t>2026-09-21</t>
        </is>
      </c>
      <c r="D27" s="3" t="n">
        <v>6.99</v>
      </c>
      <c r="E27" s="2" t="inlineStr">
        <is>
          <t>RAIZEN</t>
        </is>
      </c>
      <c r="F27" s="2" t="inlineStr">
        <is>
          <t>PARNAMIRIM</t>
        </is>
      </c>
      <c r="G27" s="2" t="inlineStr">
        <is>
          <t>CEMOPEL CM PETROLEO LTDA</t>
        </is>
      </c>
      <c r="H27" s="2" t="inlineStr">
        <is>
          <t>69.943.686/0002-31</t>
        </is>
      </c>
      <c r="I27" s="2" t="inlineStr">
        <is>
          <t>GASOLINA</t>
        </is>
      </c>
      <c r="J27" s="2" t="n">
        <v>29316</v>
      </c>
    </row>
    <row r="28">
      <c r="A28" s="2" t="inlineStr">
        <is>
          <t>ANP_027</t>
        </is>
      </c>
      <c r="B28" s="2" t="inlineStr">
        <is>
          <t>RECIFE</t>
        </is>
      </c>
      <c r="C28" s="2" t="inlineStr">
        <is>
          <t>2026-09-21</t>
        </is>
      </c>
      <c r="D28" s="3" t="n">
        <v>6.97</v>
      </c>
      <c r="E28" s="2" t="inlineStr">
        <is>
          <t>RAIZEN</t>
        </is>
      </c>
      <c r="F28" s="2" t="inlineStr">
        <is>
          <t>BOA VIAGEM</t>
        </is>
      </c>
      <c r="G28" s="2" t="inlineStr">
        <is>
          <t>CEMOPEL CM PETROLEO LTDA</t>
        </is>
      </c>
      <c r="H28" s="2" t="inlineStr">
        <is>
          <t>69.943.686/0008-27</t>
        </is>
      </c>
      <c r="I28" s="2" t="inlineStr">
        <is>
          <t>GASOLINA</t>
        </is>
      </c>
      <c r="J28" s="2" t="n">
        <v>31338</v>
      </c>
    </row>
    <row r="29">
      <c r="A29" s="2" t="inlineStr">
        <is>
          <t>ANP_028</t>
        </is>
      </c>
      <c r="B29" s="2" t="inlineStr">
        <is>
          <t>RECIFE</t>
        </is>
      </c>
      <c r="C29" s="2" t="inlineStr">
        <is>
          <t>2026-09-21</t>
        </is>
      </c>
      <c r="D29" s="3" t="n">
        <v>6.97</v>
      </c>
      <c r="E29" s="2" t="inlineStr">
        <is>
          <t>IPIRANGA</t>
        </is>
      </c>
      <c r="F29" s="2" t="inlineStr">
        <is>
          <t>BOA VIAGEM</t>
        </is>
      </c>
      <c r="G29" s="2" t="inlineStr">
        <is>
          <t>NASHE COMBUSTIVEIS LTDA</t>
        </is>
      </c>
      <c r="H29" s="2" t="inlineStr">
        <is>
          <t>70.090.972/0001-08</t>
        </is>
      </c>
      <c r="I29" s="2" t="inlineStr">
        <is>
          <t>GASOLINA</t>
        </is>
      </c>
      <c r="J29" s="2" t="n">
        <v>29313</v>
      </c>
    </row>
    <row r="30">
      <c r="A30" s="2" t="inlineStr">
        <is>
          <t>ANP_029</t>
        </is>
      </c>
      <c r="B30" s="2" t="inlineStr">
        <is>
          <t>OLINDA</t>
        </is>
      </c>
      <c r="C30" s="2" t="inlineStr">
        <is>
          <t>2026-09-21</t>
        </is>
      </c>
      <c r="D30" s="3" t="n">
        <v>6.95</v>
      </c>
      <c r="E30" s="2" t="inlineStr">
        <is>
          <t>VIBRA</t>
        </is>
      </c>
      <c r="F30" s="2" t="inlineStr">
        <is>
          <t>RIO DOCE</t>
        </is>
      </c>
      <c r="G30" s="2" t="inlineStr">
        <is>
          <t>RIO DOCE COMERCIO E SERVICOS LTDA</t>
        </is>
      </c>
      <c r="H30" s="2" t="inlineStr">
        <is>
          <t>03.008.754/0001-86</t>
        </is>
      </c>
      <c r="I30" s="2" t="inlineStr">
        <is>
          <t>GASOLINA</t>
        </is>
      </c>
      <c r="J30" s="2" t="n">
        <v>29276</v>
      </c>
    </row>
    <row r="31">
      <c r="A31" s="2" t="inlineStr">
        <is>
          <t>ANP_030</t>
        </is>
      </c>
      <c r="B31" s="2" t="inlineStr">
        <is>
          <t>OLINDA</t>
        </is>
      </c>
      <c r="C31" s="2" t="inlineStr">
        <is>
          <t>2026-09-21</t>
        </is>
      </c>
      <c r="D31" s="3" t="n">
        <v>6.95</v>
      </c>
      <c r="E31" s="2" t="inlineStr">
        <is>
          <t>VIBRA</t>
        </is>
      </c>
      <c r="F31" s="2" t="inlineStr">
        <is>
          <t>SANTA TEREZA</t>
        </is>
      </c>
      <c r="G31" s="2" t="inlineStr">
        <is>
          <t>NVM COMERCIO E DERIVADOS DE PETROLEO LTDA</t>
        </is>
      </c>
      <c r="H31" s="2" t="inlineStr">
        <is>
          <t>04.155.302/0001-90</t>
        </is>
      </c>
      <c r="I31" s="2" t="inlineStr">
        <is>
          <t>GASOLINA</t>
        </is>
      </c>
      <c r="J31" s="2" t="n">
        <v>29273</v>
      </c>
    </row>
    <row r="32">
      <c r="A32" s="2" t="inlineStr">
        <is>
          <t>ANP_031</t>
        </is>
      </c>
      <c r="B32" s="2" t="inlineStr">
        <is>
          <t>OLINDA</t>
        </is>
      </c>
      <c r="C32" s="2" t="inlineStr">
        <is>
          <t>2026-09-21</t>
        </is>
      </c>
      <c r="D32" s="3" t="n">
        <v>6.95</v>
      </c>
      <c r="E32" s="2" t="inlineStr">
        <is>
          <t>VIBRA</t>
        </is>
      </c>
      <c r="F32" s="2" t="inlineStr">
        <is>
          <t>CASA CAIADA</t>
        </is>
      </c>
      <c r="G32" s="2" t="inlineStr">
        <is>
          <t>AUTO POSTO CASA CAIADA LTDA</t>
        </is>
      </c>
      <c r="H32" s="2" t="inlineStr">
        <is>
          <t>04.284.939/0001-86</t>
        </is>
      </c>
      <c r="I32" s="2" t="inlineStr">
        <is>
          <t>GASOLINA</t>
        </is>
      </c>
      <c r="J32" s="2" t="n">
        <v>29271</v>
      </c>
    </row>
    <row r="33">
      <c r="A33" s="2" t="inlineStr">
        <is>
          <t>ANP_032</t>
        </is>
      </c>
      <c r="B33" s="2" t="inlineStr">
        <is>
          <t>OLINDA</t>
        </is>
      </c>
      <c r="C33" s="2" t="inlineStr">
        <is>
          <t>2026-09-24</t>
        </is>
      </c>
      <c r="D33" s="3" t="n">
        <v>6.95</v>
      </c>
      <c r="E33" s="2" t="inlineStr">
        <is>
          <t>VIBRA</t>
        </is>
      </c>
      <c r="F33" s="2" t="inlineStr">
        <is>
          <t>BAIRRO NOVO</t>
        </is>
      </c>
      <c r="G33" s="2" t="inlineStr">
        <is>
          <t>POSTO CIDADE PATRIMONIO LTDA</t>
        </is>
      </c>
      <c r="H33" s="2" t="inlineStr">
        <is>
          <t>05.428.059/0001-07</t>
        </is>
      </c>
      <c r="I33" s="2" t="inlineStr">
        <is>
          <t>GASOLINA</t>
        </is>
      </c>
      <c r="J33" s="2" t="n">
        <v>38411</v>
      </c>
    </row>
    <row r="34">
      <c r="A34" s="2" t="inlineStr">
        <is>
          <t>ANP_033</t>
        </is>
      </c>
      <c r="B34" s="2" t="inlineStr">
        <is>
          <t>OLINDA</t>
        </is>
      </c>
      <c r="C34" s="2" t="inlineStr">
        <is>
          <t>2026-09-21</t>
        </is>
      </c>
      <c r="D34" s="3" t="n">
        <v>6.95</v>
      </c>
      <c r="E34" s="2" t="inlineStr">
        <is>
          <t>BRANCA</t>
        </is>
      </c>
      <c r="F34" s="2" t="inlineStr">
        <is>
          <t>RIO DOCE</t>
        </is>
      </c>
      <c r="G34" s="2" t="inlineStr">
        <is>
          <t>L S DE OLIVEIRA DISTRIBUIDORA DE COMBUSTIVEIS E DERIVADOS</t>
        </is>
      </c>
      <c r="H34" s="2" t="inlineStr">
        <is>
          <t>06.258.660/0001-53</t>
        </is>
      </c>
      <c r="I34" s="2" t="inlineStr">
        <is>
          <t>GASOLINA</t>
        </is>
      </c>
      <c r="J34" s="2" t="n">
        <v>32795</v>
      </c>
    </row>
    <row r="35">
      <c r="A35" s="2" t="inlineStr">
        <is>
          <t>ANP_034</t>
        </is>
      </c>
      <c r="B35" s="2" t="inlineStr">
        <is>
          <t>OLINDA</t>
        </is>
      </c>
      <c r="C35" s="2" t="inlineStr">
        <is>
          <t>2026-09-24</t>
        </is>
      </c>
      <c r="D35" s="3" t="n">
        <v>6.95</v>
      </c>
      <c r="E35" s="2" t="inlineStr">
        <is>
          <t>VIBRA</t>
        </is>
      </c>
      <c r="F35" s="2" t="inlineStr">
        <is>
          <t>PEIXINHOS</t>
        </is>
      </c>
      <c r="G35" s="2" t="inlineStr">
        <is>
          <t>POSTO SANTANA LTDA</t>
        </is>
      </c>
      <c r="H35" s="2" t="inlineStr">
        <is>
          <t>08.192.593/0001-47</t>
        </is>
      </c>
      <c r="I35" s="2" t="inlineStr">
        <is>
          <t>GASOLINA</t>
        </is>
      </c>
      <c r="J35" s="2" t="n">
        <v>38413</v>
      </c>
    </row>
    <row r="36">
      <c r="A36" s="2" t="inlineStr">
        <is>
          <t>ANP_035</t>
        </is>
      </c>
      <c r="B36" s="2" t="inlineStr">
        <is>
          <t>OLINDA</t>
        </is>
      </c>
      <c r="C36" s="2" t="inlineStr">
        <is>
          <t>2026-09-21</t>
        </is>
      </c>
      <c r="D36" s="3" t="n">
        <v>6.95</v>
      </c>
      <c r="E36" s="2" t="inlineStr">
        <is>
          <t>VIBRA</t>
        </is>
      </c>
      <c r="F36" s="2" t="inlineStr">
        <is>
          <t>JARDIM ATLANTICO</t>
        </is>
      </c>
      <c r="G36" s="2" t="inlineStr">
        <is>
          <t>R. J. COMBUSTÍVEIS E LUBRIFICANTES LTDA.</t>
        </is>
      </c>
      <c r="H36" s="2" t="inlineStr">
        <is>
          <t>08.726.064/0001-86</t>
        </is>
      </c>
      <c r="I36" s="2" t="inlineStr">
        <is>
          <t>GASOLINA</t>
        </is>
      </c>
      <c r="J36" s="2" t="n">
        <v>29263</v>
      </c>
    </row>
    <row r="37">
      <c r="A37" s="2" t="inlineStr">
        <is>
          <t>ANP_036</t>
        </is>
      </c>
      <c r="B37" s="2" t="inlineStr">
        <is>
          <t>OLINDA</t>
        </is>
      </c>
      <c r="C37" s="2" t="inlineStr">
        <is>
          <t>2026-09-21</t>
        </is>
      </c>
      <c r="D37" s="3" t="n">
        <v>6.95</v>
      </c>
      <c r="E37" s="2" t="inlineStr">
        <is>
          <t>VIBRA</t>
        </is>
      </c>
      <c r="F37" s="2" t="inlineStr">
        <is>
          <t>SANTA TEREZA</t>
        </is>
      </c>
      <c r="G37" s="2" t="inlineStr">
        <is>
          <t>POSTO SAO JANUARIO LTDA</t>
        </is>
      </c>
      <c r="H37" s="2" t="inlineStr">
        <is>
          <t>08.757.155/0001-89</t>
        </is>
      </c>
      <c r="I37" s="2" t="inlineStr">
        <is>
          <t>GASOLINA</t>
        </is>
      </c>
      <c r="J37" s="2" t="n">
        <v>29268</v>
      </c>
    </row>
    <row r="38">
      <c r="A38" s="2" t="inlineStr">
        <is>
          <t>ANP_037</t>
        </is>
      </c>
      <c r="B38" s="2" t="inlineStr">
        <is>
          <t>OLINDA</t>
        </is>
      </c>
      <c r="C38" s="2" t="inlineStr">
        <is>
          <t>2026-09-24</t>
        </is>
      </c>
      <c r="D38" s="3" t="n">
        <v>6.95</v>
      </c>
      <c r="E38" s="2" t="inlineStr">
        <is>
          <t>VIBRA</t>
        </is>
      </c>
      <c r="F38" s="2" t="inlineStr">
        <is>
          <t>BAIRRO NOVO</t>
        </is>
      </c>
      <c r="G38" s="2" t="inlineStr">
        <is>
          <t>SV COMERCIO DE PETROLEO LTDA</t>
        </is>
      </c>
      <c r="H38" s="2" t="inlineStr">
        <is>
          <t>10.821.115/0001-09</t>
        </is>
      </c>
      <c r="I38" s="2" t="inlineStr">
        <is>
          <t>GASOLINA</t>
        </is>
      </c>
      <c r="J38" s="2" t="n">
        <v>39403</v>
      </c>
    </row>
    <row r="39">
      <c r="A39" s="2" t="inlineStr">
        <is>
          <t>ANP_038</t>
        </is>
      </c>
      <c r="B39" s="2" t="inlineStr">
        <is>
          <t>OLINDA</t>
        </is>
      </c>
      <c r="C39" s="2" t="inlineStr">
        <is>
          <t>2026-09-21</t>
        </is>
      </c>
      <c r="D39" s="3" t="n">
        <v>6.95</v>
      </c>
      <c r="E39" s="2" t="inlineStr">
        <is>
          <t>BRANCA</t>
        </is>
      </c>
      <c r="F39" s="2" t="inlineStr">
        <is>
          <t>CASA CAIADA</t>
        </is>
      </c>
      <c r="G39" s="2" t="inlineStr">
        <is>
          <t>SILVA SOBRINHO COMBUSTIVEIS LTDA</t>
        </is>
      </c>
      <c r="H39" s="2" t="inlineStr">
        <is>
          <t>12.188.727/0001-23</t>
        </is>
      </c>
      <c r="I39" s="2" t="inlineStr">
        <is>
          <t>GASOLINA</t>
        </is>
      </c>
      <c r="J39" s="2" t="n">
        <v>31816</v>
      </c>
    </row>
    <row r="40">
      <c r="A40" s="2" t="inlineStr">
        <is>
          <t>ANP_039</t>
        </is>
      </c>
      <c r="B40" s="2" t="inlineStr">
        <is>
          <t>JABOATAO DOS GUARARAPES</t>
        </is>
      </c>
      <c r="C40" s="2" t="inlineStr">
        <is>
          <t>2026-09-23</t>
        </is>
      </c>
      <c r="D40" s="3" t="n">
        <v>6.98</v>
      </c>
      <c r="E40" s="2" t="inlineStr">
        <is>
          <t>VIBRA</t>
        </is>
      </c>
      <c r="F40" s="2" t="inlineStr">
        <is>
          <t>PRAZERES</t>
        </is>
      </c>
      <c r="G40" s="2" t="inlineStr">
        <is>
          <t>GUARUJA COMERCIO E DISTRIBUICAO DE PETROLEO LTDA</t>
        </is>
      </c>
      <c r="H40" s="2" t="inlineStr">
        <is>
          <t>01.457.180/0001-06</t>
        </is>
      </c>
      <c r="I40" s="2" t="inlineStr">
        <is>
          <t>GASOLINA</t>
        </is>
      </c>
      <c r="J40" s="2" t="n">
        <v>36052</v>
      </c>
    </row>
    <row r="41">
      <c r="A41" s="2" t="inlineStr">
        <is>
          <t>ANP_040</t>
        </is>
      </c>
      <c r="B41" s="2" t="inlineStr">
        <is>
          <t>JABOATAO DOS GUARARAPES</t>
        </is>
      </c>
      <c r="C41" s="2" t="inlineStr">
        <is>
          <t>2026-09-23</t>
        </is>
      </c>
      <c r="D41" s="3" t="n">
        <v>6.95</v>
      </c>
      <c r="E41" s="2" t="inlineStr">
        <is>
          <t>LARCO</t>
        </is>
      </c>
      <c r="F41" s="2" t="inlineStr">
        <is>
          <t>PIEDADE</t>
        </is>
      </c>
      <c r="G41" s="2" t="inlineStr">
        <is>
          <t>POSTO CANCUN LTDA</t>
        </is>
      </c>
      <c r="H41" s="2" t="inlineStr">
        <is>
          <t>01.912.250/0001-60</t>
        </is>
      </c>
      <c r="I41" s="2" t="inlineStr">
        <is>
          <t>GASOLINA</t>
        </is>
      </c>
      <c r="J41" s="2" t="n">
        <v>36081</v>
      </c>
    </row>
    <row r="42">
      <c r="A42" s="2" t="inlineStr">
        <is>
          <t>ANP_041</t>
        </is>
      </c>
      <c r="B42" s="2" t="inlineStr">
        <is>
          <t>JABOATAO DOS GUARARAPES</t>
        </is>
      </c>
      <c r="C42" s="2" t="inlineStr">
        <is>
          <t>2026-09-23</t>
        </is>
      </c>
      <c r="D42" s="3" t="n">
        <v>6.95</v>
      </c>
      <c r="E42" s="2" t="inlineStr">
        <is>
          <t>BRANCA</t>
        </is>
      </c>
      <c r="F42" s="2" t="inlineStr">
        <is>
          <t>PIEDADE</t>
        </is>
      </c>
      <c r="G42" s="2" t="inlineStr">
        <is>
          <t>RP COMERCIO DE COMBUSTIVEL LTDA</t>
        </is>
      </c>
      <c r="H42" s="2" t="inlineStr">
        <is>
          <t>04.741.326/0001-20</t>
        </is>
      </c>
      <c r="I42" s="2" t="inlineStr">
        <is>
          <t>GASOLINA</t>
        </is>
      </c>
      <c r="J42" s="2" t="n">
        <v>36069</v>
      </c>
    </row>
    <row r="43">
      <c r="A43" s="2" t="inlineStr">
        <is>
          <t>ANP_042</t>
        </is>
      </c>
      <c r="B43" s="2" t="inlineStr">
        <is>
          <t>JABOATAO DOS GUARARAPES</t>
        </is>
      </c>
      <c r="C43" s="2" t="inlineStr">
        <is>
          <t>2026-09-23</t>
        </is>
      </c>
      <c r="D43" s="3" t="n">
        <v>6.95</v>
      </c>
      <c r="E43" s="2" t="inlineStr">
        <is>
          <t>RAIZEN</t>
        </is>
      </c>
      <c r="F43" s="2" t="inlineStr">
        <is>
          <t>CANDEIAS</t>
        </is>
      </c>
      <c r="G43" s="2" t="inlineStr">
        <is>
          <t>CMA PETROLEO UNIPESSOAL LTDA</t>
        </is>
      </c>
      <c r="H43" s="2" t="inlineStr">
        <is>
          <t>05.263.779/0001-51</t>
        </is>
      </c>
      <c r="I43" s="2" t="inlineStr">
        <is>
          <t>GASOLINA</t>
        </is>
      </c>
      <c r="J43" s="2" t="n">
        <v>36078</v>
      </c>
    </row>
    <row r="44">
      <c r="A44" s="2" t="inlineStr">
        <is>
          <t>ANP_043</t>
        </is>
      </c>
      <c r="B44" s="2" t="inlineStr">
        <is>
          <t>JABOATAO DOS GUARARAPES</t>
        </is>
      </c>
      <c r="C44" s="2" t="inlineStr">
        <is>
          <t>2026-09-23</t>
        </is>
      </c>
      <c r="D44" s="3" t="n">
        <v>6.95</v>
      </c>
      <c r="E44" s="2" t="inlineStr">
        <is>
          <t>RAIZEN</t>
        </is>
      </c>
      <c r="F44" s="2" t="inlineStr">
        <is>
          <t>PIEDADE</t>
        </is>
      </c>
      <c r="G44" s="2" t="inlineStr">
        <is>
          <t>SAO MIGUEL PETROLEO LTDA.</t>
        </is>
      </c>
      <c r="H44" s="2" t="inlineStr">
        <is>
          <t>06.077.409/0001-92</t>
        </is>
      </c>
      <c r="I44" s="2" t="inlineStr">
        <is>
          <t>GASOLINA</t>
        </is>
      </c>
      <c r="J44" s="2" t="n">
        <v>36063</v>
      </c>
    </row>
    <row r="45">
      <c r="A45" s="2" t="inlineStr">
        <is>
          <t>ANP_044</t>
        </is>
      </c>
      <c r="B45" s="2" t="inlineStr">
        <is>
          <t>JABOATAO DOS GUARARAPES</t>
        </is>
      </c>
      <c r="C45" s="2" t="inlineStr">
        <is>
          <t>2026-09-23</t>
        </is>
      </c>
      <c r="D45" s="3" t="n">
        <v>6.93</v>
      </c>
      <c r="E45" s="2" t="inlineStr">
        <is>
          <t>BRANCA</t>
        </is>
      </c>
      <c r="F45" s="2" t="inlineStr">
        <is>
          <t>PIEDADE</t>
        </is>
      </c>
      <c r="G45" s="2" t="inlineStr">
        <is>
          <t>POSTO JARDIM PIEDADE LTDA</t>
        </is>
      </c>
      <c r="H45" s="2" t="inlineStr">
        <is>
          <t>06.251.430/0001-62</t>
        </is>
      </c>
      <c r="I45" s="2" t="inlineStr">
        <is>
          <t>GASOLINA</t>
        </is>
      </c>
      <c r="J45" s="2" t="n">
        <v>36061</v>
      </c>
    </row>
    <row r="46">
      <c r="A46" s="2" t="inlineStr">
        <is>
          <t>ANP_045</t>
        </is>
      </c>
      <c r="B46" s="2" t="inlineStr">
        <is>
          <t>JABOATAO DOS GUARARAPES</t>
        </is>
      </c>
      <c r="C46" s="2" t="inlineStr">
        <is>
          <t>2026-09-23</t>
        </is>
      </c>
      <c r="D46" s="3" t="n">
        <v>6.95</v>
      </c>
      <c r="E46" s="2" t="inlineStr">
        <is>
          <t>IPIRANGA</t>
        </is>
      </c>
      <c r="F46" s="2" t="inlineStr">
        <is>
          <t>PIEDADE</t>
        </is>
      </c>
      <c r="G46" s="2" t="inlineStr">
        <is>
          <t>JL LEMOS COMBUSTÍVEL LTDA.</t>
        </is>
      </c>
      <c r="H46" s="2" t="inlineStr">
        <is>
          <t>07.065.530/0001-67</t>
        </is>
      </c>
      <c r="I46" s="2" t="inlineStr">
        <is>
          <t>GASOLINA</t>
        </is>
      </c>
      <c r="J46" s="2" t="n">
        <v>36055</v>
      </c>
    </row>
    <row r="47">
      <c r="A47" s="2" t="inlineStr">
        <is>
          <t>ANP_046</t>
        </is>
      </c>
      <c r="B47" s="2" t="inlineStr">
        <is>
          <t>JABOATAO DOS GUARARAPES</t>
        </is>
      </c>
      <c r="C47" s="2" t="inlineStr">
        <is>
          <t>2026-09-23</t>
        </is>
      </c>
      <c r="D47" s="3" t="n">
        <v>6.99</v>
      </c>
      <c r="E47" s="2" t="inlineStr">
        <is>
          <t>VIBRA</t>
        </is>
      </c>
      <c r="F47" s="2" t="inlineStr">
        <is>
          <t>PIEDADE</t>
        </is>
      </c>
      <c r="G47" s="2" t="inlineStr">
        <is>
          <t>POSTO APIPUCOS LTDA</t>
        </is>
      </c>
      <c r="H47" s="2" t="inlineStr">
        <is>
          <t>08.986.176/0002-57</t>
        </is>
      </c>
      <c r="I47" s="2" t="inlineStr">
        <is>
          <t>GASOLINA</t>
        </is>
      </c>
      <c r="J47" s="2" t="n">
        <v>36058</v>
      </c>
    </row>
    <row r="48">
      <c r="A48" s="2" t="inlineStr">
        <is>
          <t>ANP_047</t>
        </is>
      </c>
      <c r="B48" s="2" t="inlineStr">
        <is>
          <t>JABOATAO DOS GUARARAPES</t>
        </is>
      </c>
      <c r="C48" s="2" t="inlineStr">
        <is>
          <t>2026-09-23</t>
        </is>
      </c>
      <c r="D48" s="3" t="n">
        <v>6.99</v>
      </c>
      <c r="E48" s="2" t="inlineStr">
        <is>
          <t>VIBRA</t>
        </is>
      </c>
      <c r="F48" s="2" t="inlineStr">
        <is>
          <t>PIEDADE</t>
        </is>
      </c>
      <c r="G48" s="2" t="inlineStr">
        <is>
          <t>SERVICAR S/A</t>
        </is>
      </c>
      <c r="H48" s="2" t="inlineStr">
        <is>
          <t>09.798.307/0005-88</t>
        </is>
      </c>
      <c r="I48" s="2" t="inlineStr">
        <is>
          <t>GASOLINA</t>
        </is>
      </c>
      <c r="J48" s="2" t="n">
        <v>36075</v>
      </c>
    </row>
    <row r="49">
      <c r="A49" s="2" t="inlineStr">
        <is>
          <t>ANP_048</t>
        </is>
      </c>
      <c r="B49" s="2" t="inlineStr">
        <is>
          <t>JABOATAO DOS GUARARAPES</t>
        </is>
      </c>
      <c r="C49" s="2" t="inlineStr">
        <is>
          <t>2026-09-23</t>
        </is>
      </c>
      <c r="D49" s="3" t="n">
        <v>6.97</v>
      </c>
      <c r="E49" s="2" t="inlineStr">
        <is>
          <t>RAIZEN</t>
        </is>
      </c>
      <c r="F49" s="2" t="inlineStr">
        <is>
          <t>CANDEIAS</t>
        </is>
      </c>
      <c r="G49" s="2" t="inlineStr">
        <is>
          <t>ALBUQUERQUE PNEUS LTDA</t>
        </is>
      </c>
      <c r="H49" s="2" t="inlineStr">
        <is>
          <t>11.117.785/0013-37</t>
        </is>
      </c>
      <c r="I49" s="2" t="inlineStr">
        <is>
          <t>GASOLINA</t>
        </is>
      </c>
      <c r="J49" s="2" t="n">
        <v>36049</v>
      </c>
    </row>
    <row r="50">
      <c r="A50" s="2" t="inlineStr">
        <is>
          <t>ANP_049</t>
        </is>
      </c>
      <c r="B50" s="2" t="inlineStr">
        <is>
          <t>JABOATAO DOS GUARARAPES</t>
        </is>
      </c>
      <c r="C50" s="2" t="inlineStr">
        <is>
          <t>2026-09-23</t>
        </is>
      </c>
      <c r="D50" s="3" t="n">
        <v>6.95</v>
      </c>
      <c r="E50" s="2" t="inlineStr">
        <is>
          <t>VIBRA</t>
        </is>
      </c>
      <c r="F50" s="2" t="inlineStr">
        <is>
          <t>PIEDADE</t>
        </is>
      </c>
      <c r="G50" s="2" t="inlineStr">
        <is>
          <t>MARIA ALICE CAVALCANTI DE MORAIS EIRELI</t>
        </is>
      </c>
      <c r="H50" s="2" t="inlineStr">
        <is>
          <t>32.522.471/0001-56</t>
        </is>
      </c>
      <c r="I50" s="2" t="inlineStr">
        <is>
          <t>GASOLINA</t>
        </is>
      </c>
      <c r="J50" s="2" t="n">
        <v>37859</v>
      </c>
    </row>
    <row r="51">
      <c r="A51" s="2" t="inlineStr">
        <is>
          <t>ANP_050</t>
        </is>
      </c>
      <c r="B51" s="2" t="inlineStr">
        <is>
          <t>JABOATAO DOS GUARARAPES</t>
        </is>
      </c>
      <c r="C51" s="2" t="inlineStr">
        <is>
          <t>2026-09-23</t>
        </is>
      </c>
      <c r="D51" s="3" t="n">
        <v>6.95</v>
      </c>
      <c r="E51" s="2" t="inlineStr">
        <is>
          <t>IPIRANGA</t>
        </is>
      </c>
      <c r="F51" s="2" t="inlineStr">
        <is>
          <t>CANDEIAS</t>
        </is>
      </c>
      <c r="G51" s="2" t="inlineStr">
        <is>
          <t>J L I COMBUSTÍVEL LTDA</t>
        </is>
      </c>
      <c r="H51" s="2" t="inlineStr">
        <is>
          <t>35.353.465/0001-00</t>
        </is>
      </c>
      <c r="I51" s="2" t="inlineStr">
        <is>
          <t>GASOLINA</t>
        </is>
      </c>
      <c r="J51" s="2" t="n">
        <v>36072</v>
      </c>
    </row>
    <row r="52">
      <c r="A52" s="2" t="inlineStr">
        <is>
          <t>ANP_051</t>
        </is>
      </c>
      <c r="B52" s="2" t="inlineStr">
        <is>
          <t>JABOATAO DOS GUARARAPES</t>
        </is>
      </c>
      <c r="C52" s="2" t="inlineStr">
        <is>
          <t>2026-09-23</t>
        </is>
      </c>
      <c r="D52" s="3" t="n">
        <v>6.95</v>
      </c>
      <c r="E52" s="2" t="inlineStr">
        <is>
          <t>RAIZEN</t>
        </is>
      </c>
      <c r="F52" s="2" t="inlineStr">
        <is>
          <t>PIEDADE</t>
        </is>
      </c>
      <c r="G52" s="2" t="inlineStr">
        <is>
          <t>CEMOPEL CM PETROLEO LTDA</t>
        </is>
      </c>
      <c r="H52" s="2" t="inlineStr">
        <is>
          <t>69.943.686/0006-65</t>
        </is>
      </c>
      <c r="I52" s="2" t="inlineStr">
        <is>
          <t>GASOLINA</t>
        </is>
      </c>
      <c r="J52" s="2" t="n">
        <v>36066</v>
      </c>
    </row>
  </sheetData>
  <autoFilter ref="A1:J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68" customWidth="1" min="3" max="3"/>
  </cols>
  <sheetData>
    <row r="1" ht="22" customHeight="1">
      <c r="A1" s="1" t="inlineStr">
        <is>
          <t>Medida</t>
        </is>
      </c>
      <c r="B1" s="1" t="inlineStr">
        <is>
          <t>Resultado da formula</t>
        </is>
      </c>
      <c r="C1" s="1" t="inlineStr">
        <is>
          <t>Como a planilha calcula</t>
        </is>
      </c>
    </row>
    <row r="2" ht="20" customHeight="1">
      <c r="A2" s="4" t="inlineStr">
        <is>
          <t>Quantidade de postos</t>
        </is>
      </c>
      <c r="B2" s="5">
        <f>COUNT(Dados!D2:D52)</f>
        <v/>
      </c>
      <c r="C2" s="6" t="inlineStr">
        <is>
          <t>Conta os 51 precos da coluna D.</t>
        </is>
      </c>
    </row>
    <row r="3" ht="20" customHeight="1">
      <c r="A3" s="7" t="inlineStr">
        <is>
          <t>Soma dos precos (R$)</t>
        </is>
      </c>
      <c r="B3" s="8">
        <f>SUM(Dados!D2:D52)</f>
        <v/>
      </c>
      <c r="C3" s="2" t="inlineStr">
        <is>
          <t>Soma os 51 precos. A media usa esta soma.</t>
        </is>
      </c>
    </row>
    <row r="4" ht="20" customHeight="1">
      <c r="A4" s="4" t="inlineStr">
        <is>
          <t>Media (R$/litro)</t>
        </is>
      </c>
      <c r="B4" s="9">
        <f>AVERAGE(Dados!D2:D52)</f>
        <v/>
      </c>
      <c r="C4" s="6" t="inlineStr">
        <is>
          <t>Soma dividida por 51.</t>
        </is>
      </c>
    </row>
    <row r="5" ht="20" customHeight="1">
      <c r="A5" s="7" t="inlineStr">
        <is>
          <t>Mediana (R$/litro)</t>
        </is>
      </c>
      <c r="B5" s="8">
        <f>MEDIAN(Dados!D2:D52)</f>
        <v/>
      </c>
      <c r="C5" s="2" t="inlineStr">
        <is>
          <t>Com 51 precos, e o 26o valor da lista ordenada.</t>
        </is>
      </c>
    </row>
    <row r="6" ht="20" customHeight="1">
      <c r="A6" s="4" t="inlineStr">
        <is>
          <t>Moda (R$/litro)</t>
        </is>
      </c>
      <c r="B6" s="10">
        <f>MODE(Dados!D2:D52)</f>
        <v/>
      </c>
      <c r="C6" s="6" t="inlineStr">
        <is>
          <t>Preco que mais se repete.</t>
        </is>
      </c>
    </row>
    <row r="7" ht="20" customHeight="1">
      <c r="A7" s="7" t="inlineStr">
        <is>
          <t>Menor preco (R$/litro)</t>
        </is>
      </c>
      <c r="B7" s="8">
        <f>MIN(Dados!D2:D52)</f>
        <v/>
      </c>
      <c r="C7" s="2" t="inlineStr">
        <is>
          <t>Menor valor do conjunto.</t>
        </is>
      </c>
    </row>
    <row r="8" ht="20" customHeight="1">
      <c r="A8" s="4" t="inlineStr">
        <is>
          <t>Maior preco (R$/litro)</t>
        </is>
      </c>
      <c r="B8" s="10">
        <f>MAX(Dados!D2:D52)</f>
        <v/>
      </c>
      <c r="C8" s="6" t="inlineStr">
        <is>
          <t>Maior valor do conjunto.</t>
        </is>
      </c>
    </row>
    <row r="9" ht="20" customHeight="1">
      <c r="A9" s="7" t="inlineStr">
        <is>
          <t>Amplitude (R$/litro)</t>
        </is>
      </c>
      <c r="B9" s="8">
        <f>B8-B7</f>
        <v/>
      </c>
      <c r="C9" s="2" t="inlineStr">
        <is>
          <t>Maior preco menos o menor preco.</t>
        </is>
      </c>
    </row>
    <row r="10" ht="20" customHeight="1">
      <c r="A10" s="4" t="inlineStr">
        <is>
          <t>Desvio padrao amostral</t>
        </is>
      </c>
      <c r="B10" s="9">
        <f>STDEV(Dados!D2:D52)</f>
        <v/>
      </c>
      <c r="C10" s="6" t="inlineStr">
        <is>
          <t>Raiz da variancia. O divisor e 51 - 1 = 50.</t>
        </is>
      </c>
    </row>
    <row r="11" ht="20" customHeight="1">
      <c r="A11" s="7" t="inlineStr">
        <is>
          <t>Variancia amostral</t>
        </is>
      </c>
      <c r="B11" s="11">
        <f>VAR(Dados!D2:D52)</f>
        <v/>
      </c>
      <c r="C11" s="2" t="inlineStr">
        <is>
          <t>Soma dos desvios ao quadrado, dividida por 50.</t>
        </is>
      </c>
    </row>
    <row r="12" ht="20" customHeight="1">
      <c r="A12" s="4" t="inlineStr">
        <is>
          <t>Q1, metodo da aula</t>
        </is>
      </c>
      <c r="B12" s="10">
        <f>SMALL(Dados!D2:D52,13)</f>
        <v/>
      </c>
      <c r="C12" s="6" t="inlineStr">
        <is>
          <t>13o preco da lista ordenada. Centro da metade de baixo.</t>
        </is>
      </c>
    </row>
    <row r="13" ht="20" customHeight="1">
      <c r="A13" s="7" t="inlineStr">
        <is>
          <t>Q3, metodo da aula</t>
        </is>
      </c>
      <c r="B13" s="8">
        <f>SMALL(Dados!D2:D52,39)</f>
        <v/>
      </c>
      <c r="C13" s="2" t="inlineStr">
        <is>
          <t>39o preco da lista ordenada. Centro da metade de cima.</t>
        </is>
      </c>
    </row>
    <row r="14" ht="20" customHeight="1">
      <c r="A14" s="4" t="inlineStr">
        <is>
          <t>Intervalo interquartil</t>
        </is>
      </c>
      <c r="B14" s="9">
        <f>B13-B12</f>
        <v/>
      </c>
      <c r="C14" s="6" t="inlineStr">
        <is>
          <t>Q3 menos Q1.</t>
        </is>
      </c>
    </row>
    <row r="15" ht="20" customHeight="1">
      <c r="A15" s="7" t="inlineStr">
        <is>
          <t>Limite inferior do boxplot</t>
        </is>
      </c>
      <c r="B15" s="12">
        <f>B12-1.5*B14</f>
        <v/>
      </c>
      <c r="C15" s="2" t="inlineStr">
        <is>
          <t>Q1 menos 1,5 vezes o intervalo interquartil.</t>
        </is>
      </c>
    </row>
    <row r="16" ht="20" customHeight="1">
      <c r="A16" s="4" t="inlineStr">
        <is>
          <t>Limite superior do boxplot</t>
        </is>
      </c>
      <c r="B16" s="9">
        <f>B13+1.5*B14</f>
        <v/>
      </c>
      <c r="C16" s="6" t="inlineStr">
        <is>
          <t>Q3 mais 1,5 vezes o intervalo interquartil.</t>
        </is>
      </c>
    </row>
    <row r="17" ht="20" customHeight="1">
      <c r="A17" s="7" t="inlineStr">
        <is>
          <t>Soma dos desvios ao quadrado</t>
        </is>
      </c>
      <c r="B17" s="13">
        <f>DEVSQ(Dados!D2:D52)</f>
        <v/>
      </c>
      <c r="C17" s="2" t="inlineStr">
        <is>
          <t>Base manual do desvio padrao.</t>
        </is>
      </c>
    </row>
    <row r="18" ht="20" customHeight="1">
      <c r="A18" s="4" t="inlineStr">
        <is>
          <t>Desvio conferido na mao</t>
        </is>
      </c>
      <c r="B18" s="9">
        <f>SQRT(B17/(B2-1))</f>
        <v/>
      </c>
      <c r="C18" s="6" t="inlineStr">
        <is>
          <t>Deve bater com o desvio padrao amostral.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</cols>
  <sheetData>
    <row r="1">
      <c r="A1" s="1" t="inlineStr">
        <is>
          <t>Preco (R$/litro)</t>
        </is>
      </c>
      <c r="B1" s="1" t="inlineStr">
        <is>
          <t>Quantidade de postos</t>
        </is>
      </c>
      <c r="C1" s="1" t="inlineStr">
        <is>
          <t>Percentual</t>
        </is>
      </c>
    </row>
    <row r="2">
      <c r="A2" s="14" t="n">
        <v>6.89</v>
      </c>
      <c r="B2" s="15">
        <f>COUNTIF(Dados!D$2:D$52,A2)</f>
        <v/>
      </c>
      <c r="C2" s="16">
        <f>B2/Medidas!B2</f>
        <v/>
      </c>
    </row>
    <row r="3">
      <c r="A3" s="14" t="n">
        <v>6.93</v>
      </c>
      <c r="B3" s="15">
        <f>COUNTIF(Dados!D$2:D$52,A3)</f>
        <v/>
      </c>
      <c r="C3" s="16">
        <f>B3/Medidas!B2</f>
        <v/>
      </c>
    </row>
    <row r="4">
      <c r="A4" s="14" t="n">
        <v>6.95</v>
      </c>
      <c r="B4" s="15">
        <f>COUNTIF(Dados!D$2:D$52,A4)</f>
        <v/>
      </c>
      <c r="C4" s="16">
        <f>B4/Medidas!B2</f>
        <v/>
      </c>
    </row>
    <row r="5">
      <c r="A5" s="14" t="n">
        <v>6.97</v>
      </c>
      <c r="B5" s="15">
        <f>COUNTIF(Dados!D$2:D$52,A5)</f>
        <v/>
      </c>
      <c r="C5" s="16">
        <f>B5/Medidas!B2</f>
        <v/>
      </c>
    </row>
    <row r="6">
      <c r="A6" s="14" t="n">
        <v>6.98</v>
      </c>
      <c r="B6" s="15">
        <f>COUNTIF(Dados!D$2:D$52,A6)</f>
        <v/>
      </c>
      <c r="C6" s="16">
        <f>B6/Medidas!B2</f>
        <v/>
      </c>
    </row>
    <row r="7">
      <c r="A7" s="14" t="n">
        <v>6.99</v>
      </c>
      <c r="B7" s="15">
        <f>COUNTIF(Dados!D$2:D$52,A7)</f>
        <v/>
      </c>
      <c r="C7" s="16">
        <f>B7/Medidas!B2</f>
        <v/>
      </c>
    </row>
    <row r="8">
      <c r="A8" s="7" t="inlineStr">
        <is>
          <t>Total</t>
        </is>
      </c>
      <c r="B8" s="7">
        <f>SUM(B2:B7)</f>
        <v/>
      </c>
      <c r="C8" s="17">
        <f>SUM(C2:C7)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0" customWidth="1" min="3" max="3"/>
  </cols>
  <sheetData>
    <row r="1">
      <c r="A1" s="1" t="inlineStr">
        <is>
          <t>Posicao</t>
        </is>
      </c>
      <c r="B1" s="1" t="inlineStr">
        <is>
          <t>Preco ordenado (R$/litro)</t>
        </is>
      </c>
      <c r="C1" s="1" t="inlineStr">
        <is>
          <t>Papel no calculo</t>
        </is>
      </c>
    </row>
    <row r="2">
      <c r="A2" s="2" t="n">
        <v>1</v>
      </c>
      <c r="B2" s="3">
        <f>SMALL(Dados!$D$2:$D$52,A2)</f>
        <v/>
      </c>
      <c r="C2" s="2" t="inlineStr"/>
    </row>
    <row r="3">
      <c r="A3" s="2" t="n">
        <v>2</v>
      </c>
      <c r="B3" s="3">
        <f>SMALL(Dados!$D$2:$D$52,A3)</f>
        <v/>
      </c>
      <c r="C3" s="2" t="inlineStr"/>
    </row>
    <row r="4">
      <c r="A4" s="2" t="n">
        <v>3</v>
      </c>
      <c r="B4" s="3">
        <f>SMALL(Dados!$D$2:$D$52,A4)</f>
        <v/>
      </c>
      <c r="C4" s="2" t="inlineStr"/>
    </row>
    <row r="5">
      <c r="A5" s="2" t="n">
        <v>4</v>
      </c>
      <c r="B5" s="3">
        <f>SMALL(Dados!$D$2:$D$52,A5)</f>
        <v/>
      </c>
      <c r="C5" s="2" t="inlineStr"/>
    </row>
    <row r="6">
      <c r="A6" s="2" t="n">
        <v>5</v>
      </c>
      <c r="B6" s="3">
        <f>SMALL(Dados!$D$2:$D$52,A6)</f>
        <v/>
      </c>
      <c r="C6" s="2" t="inlineStr"/>
    </row>
    <row r="7">
      <c r="A7" s="2" t="n">
        <v>6</v>
      </c>
      <c r="B7" s="3">
        <f>SMALL(Dados!$D$2:$D$52,A7)</f>
        <v/>
      </c>
      <c r="C7" s="2" t="inlineStr"/>
    </row>
    <row r="8">
      <c r="A8" s="2" t="n">
        <v>7</v>
      </c>
      <c r="B8" s="3">
        <f>SMALL(Dados!$D$2:$D$52,A8)</f>
        <v/>
      </c>
      <c r="C8" s="2" t="inlineStr"/>
    </row>
    <row r="9">
      <c r="A9" s="2" t="n">
        <v>8</v>
      </c>
      <c r="B9" s="3">
        <f>SMALL(Dados!$D$2:$D$52,A9)</f>
        <v/>
      </c>
      <c r="C9" s="2" t="inlineStr"/>
    </row>
    <row r="10">
      <c r="A10" s="2" t="n">
        <v>9</v>
      </c>
      <c r="B10" s="3">
        <f>SMALL(Dados!$D$2:$D$52,A10)</f>
        <v/>
      </c>
      <c r="C10" s="2" t="inlineStr"/>
    </row>
    <row r="11">
      <c r="A11" s="2" t="n">
        <v>10</v>
      </c>
      <c r="B11" s="3">
        <f>SMALL(Dados!$D$2:$D$52,A11)</f>
        <v/>
      </c>
      <c r="C11" s="2" t="inlineStr"/>
    </row>
    <row r="12">
      <c r="A12" s="2" t="n">
        <v>11</v>
      </c>
      <c r="B12" s="3">
        <f>SMALL(Dados!$D$2:$D$52,A12)</f>
        <v/>
      </c>
      <c r="C12" s="2" t="inlineStr"/>
    </row>
    <row r="13">
      <c r="A13" s="2" t="n">
        <v>12</v>
      </c>
      <c r="B13" s="3">
        <f>SMALL(Dados!$D$2:$D$52,A13)</f>
        <v/>
      </c>
      <c r="C13" s="2" t="inlineStr"/>
    </row>
    <row r="14">
      <c r="A14" s="18" t="n">
        <v>13</v>
      </c>
      <c r="B14" s="19">
        <f>SMALL(Dados!$D$2:$D$52,A14)</f>
        <v/>
      </c>
      <c r="C14" s="18" t="inlineStr">
        <is>
          <t>Q1, centro da metade de baixo</t>
        </is>
      </c>
    </row>
    <row r="15">
      <c r="A15" s="2" t="n">
        <v>14</v>
      </c>
      <c r="B15" s="3">
        <f>SMALL(Dados!$D$2:$D$52,A15)</f>
        <v/>
      </c>
      <c r="C15" s="2" t="inlineStr"/>
    </row>
    <row r="16">
      <c r="A16" s="2" t="n">
        <v>15</v>
      </c>
      <c r="B16" s="3">
        <f>SMALL(Dados!$D$2:$D$52,A16)</f>
        <v/>
      </c>
      <c r="C16" s="2" t="inlineStr"/>
    </row>
    <row r="17">
      <c r="A17" s="2" t="n">
        <v>16</v>
      </c>
      <c r="B17" s="3">
        <f>SMALL(Dados!$D$2:$D$52,A17)</f>
        <v/>
      </c>
      <c r="C17" s="2" t="inlineStr"/>
    </row>
    <row r="18">
      <c r="A18" s="2" t="n">
        <v>17</v>
      </c>
      <c r="B18" s="3">
        <f>SMALL(Dados!$D$2:$D$52,A18)</f>
        <v/>
      </c>
      <c r="C18" s="2" t="inlineStr"/>
    </row>
    <row r="19">
      <c r="A19" s="2" t="n">
        <v>18</v>
      </c>
      <c r="B19" s="3">
        <f>SMALL(Dados!$D$2:$D$52,A19)</f>
        <v/>
      </c>
      <c r="C19" s="2" t="inlineStr"/>
    </row>
    <row r="20">
      <c r="A20" s="2" t="n">
        <v>19</v>
      </c>
      <c r="B20" s="3">
        <f>SMALL(Dados!$D$2:$D$52,A20)</f>
        <v/>
      </c>
      <c r="C20" s="2" t="inlineStr"/>
    </row>
    <row r="21">
      <c r="A21" s="2" t="n">
        <v>20</v>
      </c>
      <c r="B21" s="3">
        <f>SMALL(Dados!$D$2:$D$52,A21)</f>
        <v/>
      </c>
      <c r="C21" s="2" t="inlineStr"/>
    </row>
    <row r="22">
      <c r="A22" s="2" t="n">
        <v>21</v>
      </c>
      <c r="B22" s="3">
        <f>SMALL(Dados!$D$2:$D$52,A22)</f>
        <v/>
      </c>
      <c r="C22" s="2" t="inlineStr"/>
    </row>
    <row r="23">
      <c r="A23" s="2" t="n">
        <v>22</v>
      </c>
      <c r="B23" s="3">
        <f>SMALL(Dados!$D$2:$D$52,A23)</f>
        <v/>
      </c>
      <c r="C23" s="2" t="inlineStr"/>
    </row>
    <row r="24">
      <c r="A24" s="2" t="n">
        <v>23</v>
      </c>
      <c r="B24" s="3">
        <f>SMALL(Dados!$D$2:$D$52,A24)</f>
        <v/>
      </c>
      <c r="C24" s="2" t="inlineStr"/>
    </row>
    <row r="25">
      <c r="A25" s="2" t="n">
        <v>24</v>
      </c>
      <c r="B25" s="3">
        <f>SMALL(Dados!$D$2:$D$52,A25)</f>
        <v/>
      </c>
      <c r="C25" s="2" t="inlineStr"/>
    </row>
    <row r="26">
      <c r="A26" s="2" t="n">
        <v>25</v>
      </c>
      <c r="B26" s="3">
        <f>SMALL(Dados!$D$2:$D$52,A26)</f>
        <v/>
      </c>
      <c r="C26" s="2" t="inlineStr"/>
    </row>
    <row r="27">
      <c r="A27" s="18" t="n">
        <v>26</v>
      </c>
      <c r="B27" s="19">
        <f>SMALL(Dados!$D$2:$D$52,A27)</f>
        <v/>
      </c>
      <c r="C27" s="18" t="inlineStr">
        <is>
          <t>Mediana, 26a posicao</t>
        </is>
      </c>
    </row>
    <row r="28">
      <c r="A28" s="2" t="n">
        <v>27</v>
      </c>
      <c r="B28" s="3">
        <f>SMALL(Dados!$D$2:$D$52,A28)</f>
        <v/>
      </c>
      <c r="C28" s="2" t="inlineStr"/>
    </row>
    <row r="29">
      <c r="A29" s="2" t="n">
        <v>28</v>
      </c>
      <c r="B29" s="3">
        <f>SMALL(Dados!$D$2:$D$52,A29)</f>
        <v/>
      </c>
      <c r="C29" s="2" t="inlineStr"/>
    </row>
    <row r="30">
      <c r="A30" s="2" t="n">
        <v>29</v>
      </c>
      <c r="B30" s="3">
        <f>SMALL(Dados!$D$2:$D$52,A30)</f>
        <v/>
      </c>
      <c r="C30" s="2" t="inlineStr"/>
    </row>
    <row r="31">
      <c r="A31" s="2" t="n">
        <v>30</v>
      </c>
      <c r="B31" s="3">
        <f>SMALL(Dados!$D$2:$D$52,A31)</f>
        <v/>
      </c>
      <c r="C31" s="2" t="inlineStr"/>
    </row>
    <row r="32">
      <c r="A32" s="2" t="n">
        <v>31</v>
      </c>
      <c r="B32" s="3">
        <f>SMALL(Dados!$D$2:$D$52,A32)</f>
        <v/>
      </c>
      <c r="C32" s="2" t="inlineStr"/>
    </row>
    <row r="33">
      <c r="A33" s="2" t="n">
        <v>32</v>
      </c>
      <c r="B33" s="3">
        <f>SMALL(Dados!$D$2:$D$52,A33)</f>
        <v/>
      </c>
      <c r="C33" s="2" t="inlineStr"/>
    </row>
    <row r="34">
      <c r="A34" s="2" t="n">
        <v>33</v>
      </c>
      <c r="B34" s="3">
        <f>SMALL(Dados!$D$2:$D$52,A34)</f>
        <v/>
      </c>
      <c r="C34" s="2" t="inlineStr"/>
    </row>
    <row r="35">
      <c r="A35" s="2" t="n">
        <v>34</v>
      </c>
      <c r="B35" s="3">
        <f>SMALL(Dados!$D$2:$D$52,A35)</f>
        <v/>
      </c>
      <c r="C35" s="2" t="inlineStr"/>
    </row>
    <row r="36">
      <c r="A36" s="2" t="n">
        <v>35</v>
      </c>
      <c r="B36" s="3">
        <f>SMALL(Dados!$D$2:$D$52,A36)</f>
        <v/>
      </c>
      <c r="C36" s="2" t="inlineStr"/>
    </row>
    <row r="37">
      <c r="A37" s="2" t="n">
        <v>36</v>
      </c>
      <c r="B37" s="3">
        <f>SMALL(Dados!$D$2:$D$52,A37)</f>
        <v/>
      </c>
      <c r="C37" s="2" t="inlineStr"/>
    </row>
    <row r="38">
      <c r="A38" s="2" t="n">
        <v>37</v>
      </c>
      <c r="B38" s="3">
        <f>SMALL(Dados!$D$2:$D$52,A38)</f>
        <v/>
      </c>
      <c r="C38" s="2" t="inlineStr"/>
    </row>
    <row r="39">
      <c r="A39" s="2" t="n">
        <v>38</v>
      </c>
      <c r="B39" s="3">
        <f>SMALL(Dados!$D$2:$D$52,A39)</f>
        <v/>
      </c>
      <c r="C39" s="2" t="inlineStr"/>
    </row>
    <row r="40">
      <c r="A40" s="18" t="n">
        <v>39</v>
      </c>
      <c r="B40" s="19">
        <f>SMALL(Dados!$D$2:$D$52,A40)</f>
        <v/>
      </c>
      <c r="C40" s="18" t="inlineStr">
        <is>
          <t>Q3, centro da metade de cima</t>
        </is>
      </c>
    </row>
    <row r="41">
      <c r="A41" s="2" t="n">
        <v>40</v>
      </c>
      <c r="B41" s="3">
        <f>SMALL(Dados!$D$2:$D$52,A41)</f>
        <v/>
      </c>
      <c r="C41" s="2" t="inlineStr"/>
    </row>
    <row r="42">
      <c r="A42" s="2" t="n">
        <v>41</v>
      </c>
      <c r="B42" s="3">
        <f>SMALL(Dados!$D$2:$D$52,A42)</f>
        <v/>
      </c>
      <c r="C42" s="2" t="inlineStr"/>
    </row>
    <row r="43">
      <c r="A43" s="2" t="n">
        <v>42</v>
      </c>
      <c r="B43" s="3">
        <f>SMALL(Dados!$D$2:$D$52,A43)</f>
        <v/>
      </c>
      <c r="C43" s="2" t="inlineStr"/>
    </row>
    <row r="44">
      <c r="A44" s="2" t="n">
        <v>43</v>
      </c>
      <c r="B44" s="3">
        <f>SMALL(Dados!$D$2:$D$52,A44)</f>
        <v/>
      </c>
      <c r="C44" s="2" t="inlineStr"/>
    </row>
    <row r="45">
      <c r="A45" s="2" t="n">
        <v>44</v>
      </c>
      <c r="B45" s="3">
        <f>SMALL(Dados!$D$2:$D$52,A45)</f>
        <v/>
      </c>
      <c r="C45" s="2" t="inlineStr"/>
    </row>
    <row r="46">
      <c r="A46" s="2" t="n">
        <v>45</v>
      </c>
      <c r="B46" s="3">
        <f>SMALL(Dados!$D$2:$D$52,A46)</f>
        <v/>
      </c>
      <c r="C46" s="2" t="inlineStr"/>
    </row>
    <row r="47">
      <c r="A47" s="2" t="n">
        <v>46</v>
      </c>
      <c r="B47" s="3">
        <f>SMALL(Dados!$D$2:$D$52,A47)</f>
        <v/>
      </c>
      <c r="C47" s="2" t="inlineStr"/>
    </row>
    <row r="48">
      <c r="A48" s="2" t="n">
        <v>47</v>
      </c>
      <c r="B48" s="3">
        <f>SMALL(Dados!$D$2:$D$52,A48)</f>
        <v/>
      </c>
      <c r="C48" s="2" t="inlineStr"/>
    </row>
    <row r="49">
      <c r="A49" s="2" t="n">
        <v>48</v>
      </c>
      <c r="B49" s="3">
        <f>SMALL(Dados!$D$2:$D$52,A49)</f>
        <v/>
      </c>
      <c r="C49" s="2" t="inlineStr"/>
    </row>
    <row r="50">
      <c r="A50" s="2" t="n">
        <v>49</v>
      </c>
      <c r="B50" s="3">
        <f>SMALL(Dados!$D$2:$D$52,A50)</f>
        <v/>
      </c>
      <c r="C50" s="2" t="inlineStr"/>
    </row>
    <row r="51">
      <c r="A51" s="2" t="n">
        <v>50</v>
      </c>
      <c r="B51" s="3">
        <f>SMALL(Dados!$D$2:$D$52,A51)</f>
        <v/>
      </c>
      <c r="C51" s="2" t="inlineStr"/>
    </row>
    <row r="52">
      <c r="A52" s="2" t="n">
        <v>51</v>
      </c>
      <c r="B52" s="3">
        <f>SMALL(Dados!$D$2:$D$52,A52)</f>
        <v/>
      </c>
      <c r="C5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4" customHeight="1">
      <c r="A1" s="20" t="inlineStr">
        <is>
          <t>Conferencia dos calculos</t>
        </is>
      </c>
    </row>
    <row r="3" ht="36" customHeight="1">
      <c r="A3" s="21" t="inlineStr">
        <is>
          <t>Abra esta planilha no LibreOffice ou no Excel e deixe as formulas calcularem.</t>
        </is>
      </c>
    </row>
    <row r="4" ht="36" customHeight="1">
      <c r="A4" s="21" t="inlineStr">
        <is>
          <t>A coluna B da aba Medidas deve mostrar: quantidade 51, soma 355,21, media 6,9649, mediana 6,97, moda 6,95, amplitude 0,10 e desvio padrao amostral 0,0202.</t>
        </is>
      </c>
    </row>
    <row r="5" ht="36" customHeight="1">
      <c r="A5" s="21" t="inlineStr">
        <is>
          <t>O desvio usa a versao amostral. O divisor e n - 1, isto e, 50. A celula B18 refaz essa conta com a soma dos desvios ao quadrado.</t>
        </is>
      </c>
    </row>
    <row r="6" ht="36" customHeight="1">
      <c r="A6" s="21" t="inlineStr">
        <is>
          <t>Quartis: n = 51 e impar. A mediana e o 26o preco. Ela sai da lista antes de achar Q1 e Q3. Cada metade fica com 25 precos. Q1 e Q3 sao o 13o preco de cada metade, nas posicoes 13 e 39 da lista completa.</t>
        </is>
      </c>
    </row>
    <row r="7" ht="36" customHeight="1">
      <c r="A7" s="21" t="inlineStr">
        <is>
          <t>Esse metodo e o da aula. Outro metodo de quartil pode dar numero diferente.</t>
        </is>
      </c>
    </row>
    <row r="8" ht="36" customHeight="1">
      <c r="A8" s="21" t="inlineStr">
        <is>
          <t>Nenhum preco foi tirado da base. O preco de 6,89 fica no limite inferior do boxplot e continua no conjunto.</t>
        </is>
      </c>
    </row>
    <row r="9" ht="36" customHeight="1">
      <c r="A9" s="21" t="inlineStr">
        <is>
          <t>Fonte dos precos: ANP, serie historica de precos de combustiveis, setembro de 2026. Recorte de 21 a 27/09/2026. Consulta em 08/10/2026.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2026-10-09T22:49:37Z</dcterms:created>
  <dcterms:modified xsi:type="dcterms:W3CDTF">2026-10-09T22:49:38Z</dcterms:modified>
</cp:coreProperties>
</file>